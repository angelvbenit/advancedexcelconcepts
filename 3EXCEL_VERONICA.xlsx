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xcelr\ASSIGNMENTS\MY ASSIGNMENTS\"/>
    </mc:Choice>
  </mc:AlternateContent>
  <xr:revisionPtr revIDLastSave="0" documentId="13_ncr:1_{3DDF4B37-54AE-4F1C-84C1-CFFB5AD3B1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Data">Source!$C$5:$F$40</definedName>
    <definedName name="Header">Source!$C$5:$F$5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I8" i="2" l="1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40" i="2"/>
  <c r="J40" i="2"/>
  <c r="K40" i="2"/>
  <c r="I41" i="2"/>
  <c r="J41" i="2"/>
  <c r="K41" i="2"/>
  <c r="I42" i="2"/>
  <c r="J42" i="2"/>
  <c r="K42" i="2"/>
  <c r="I43" i="2"/>
  <c r="J43" i="2"/>
  <c r="K43" i="2"/>
  <c r="I44" i="2"/>
  <c r="J44" i="2"/>
  <c r="K44" i="2"/>
  <c r="J7" i="2"/>
  <c r="K7" i="2"/>
  <c r="I7" i="2"/>
  <c r="O11" i="1"/>
  <c r="O10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<sst xmlns="http://schemas.openxmlformats.org/spreadsheetml/2006/main" count="480" uniqueCount="104">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</sst>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7054F0-6513-46DE-A14B-D8903134B9D8}">
  <we:reference id="wa104379190" version="2.0.0.0" store="en-US" storeType="OMEX"/>
  <we:alternateReferences>
    <we:reference id="WA104379190" version="2.0.0.0" store="" storeType="OMEX"/>
  </we:alternateReferences>
  <we:properties/>
  <we:bindings>
    <we:binding id="RangeSelect" type="matrix" appref="{DB01CC20-7F6A-425D-8D23-D49315F4EE1F}"/>
  </we:bindings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tabSelected="1" topLeftCell="B1" workbookViewId="0">
      <selection activeCell="N14" sqref="N14"/>
    </sheetView>
  </sheetViews>
  <sheetFormatPr defaultColWidth="14.453125" defaultRowHeight="15" customHeight="1" x14ac:dyDescent="0.35"/>
  <cols>
    <col min="1" max="5" width="8.7265625" customWidth="1"/>
    <col min="6" max="6" width="9.81640625" customWidth="1"/>
    <col min="7" max="10" width="8.7265625" customWidth="1"/>
    <col min="11" max="11" width="10.7265625" customWidth="1"/>
    <col min="12" max="12" width="8.7265625" customWidth="1"/>
    <col min="13" max="13" width="38" customWidth="1"/>
    <col min="14" max="14" width="13" customWidth="1"/>
    <col min="15" max="15" width="17.26953125" customWidth="1"/>
    <col min="16" max="26" width="8.7265625" customWidth="1"/>
  </cols>
  <sheetData>
    <row r="1" spans="3:15" ht="14.25" customHeight="1" x14ac:dyDescent="0.35"/>
    <row r="2" spans="3:15" ht="14.25" customHeight="1" x14ac:dyDescent="0.35"/>
    <row r="3" spans="3:15" ht="14.25" customHeight="1" x14ac:dyDescent="0.35"/>
    <row r="4" spans="3:15" ht="14.25" customHeight="1" x14ac:dyDescent="0.35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 x14ac:dyDescent="0.35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 x14ac:dyDescent="0.35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 x14ac:dyDescent="0.35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 x14ac:dyDescent="0.35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 x14ac:dyDescent="0.35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5" ht="14.25" customHeight="1" x14ac:dyDescent="0.35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/>
      <c r="O10" s="6" t="str">
        <f>INDEX(D4:D42,MATCH(MAX(K5:K42),K4:K42,0))</f>
        <v>Dinesh</v>
      </c>
    </row>
    <row r="11" spans="3:15" ht="14.25" customHeight="1" x14ac:dyDescent="0.35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/>
      <c r="O11" s="6" t="str">
        <f>INDEX(D5:D43,MATCH(MIN(K6:K43),K5:K43,0))</f>
        <v>Satish</v>
      </c>
    </row>
    <row r="12" spans="3:15" ht="14.25" customHeight="1" x14ac:dyDescent="0.35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 x14ac:dyDescent="0.35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 x14ac:dyDescent="0.35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 x14ac:dyDescent="0.35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 x14ac:dyDescent="0.35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 x14ac:dyDescent="0.35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 x14ac:dyDescent="0.35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 x14ac:dyDescent="0.35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 x14ac:dyDescent="0.35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 x14ac:dyDescent="0.35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 x14ac:dyDescent="0.35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 x14ac:dyDescent="0.35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 x14ac:dyDescent="0.35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 x14ac:dyDescent="0.35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 x14ac:dyDescent="0.35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 x14ac:dyDescent="0.35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 x14ac:dyDescent="0.35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 x14ac:dyDescent="0.35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 x14ac:dyDescent="0.35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 x14ac:dyDescent="0.35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 x14ac:dyDescent="0.35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 x14ac:dyDescent="0.35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 x14ac:dyDescent="0.35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 x14ac:dyDescent="0.35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 x14ac:dyDescent="0.35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 x14ac:dyDescent="0.35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 x14ac:dyDescent="0.35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 x14ac:dyDescent="0.35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 x14ac:dyDescent="0.35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 x14ac:dyDescent="0.35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 x14ac:dyDescent="0.35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 x14ac:dyDescent="0.35"/>
    <row r="44" spans="3:11" ht="14.25" customHeight="1" x14ac:dyDescent="0.35"/>
    <row r="45" spans="3:11" ht="14.25" customHeight="1" x14ac:dyDescent="0.35"/>
    <row r="46" spans="3:11" ht="14.25" customHeight="1" x14ac:dyDescent="0.35"/>
    <row r="47" spans="3:11" ht="14.25" customHeight="1" x14ac:dyDescent="0.35"/>
    <row r="48" spans="3:11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">
    <mergeCell ref="M9:N9"/>
  </mergeCells>
  <pageMargins left="0.7" right="0.7" top="0.75" bottom="0.75" header="0" footer="0"/>
  <pageSetup orientation="landscape"/>
  <extLst>
    <ext xmlns:x15="http://schemas.microsoft.com/office/spreadsheetml/2010/11/main" uri="{F7C9EE02-42E1-4005-9D12-6889AFFD525C}">
      <x15:webExtensions xmlns:xm="http://schemas.microsoft.com/office/excel/2006/main">
        <x15:webExtension appRef="{DB01CC20-7F6A-425D-8D23-D49315F4EE1F}">
          <xm:f>'Index&amp;Match'!1:1048576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workbookViewId="0">
      <selection activeCell="H19" sqref="H19"/>
    </sheetView>
  </sheetViews>
  <sheetFormatPr defaultColWidth="14.453125" defaultRowHeight="15" customHeight="1" x14ac:dyDescent="0.35"/>
  <cols>
    <col min="1" max="3" width="8.7265625" customWidth="1"/>
    <col min="4" max="4" width="64.7265625" customWidth="1"/>
    <col min="5" max="5" width="8.7265625" customWidth="1"/>
    <col min="6" max="6" width="9.81640625" customWidth="1"/>
    <col min="7" max="9" width="8.7265625" customWidth="1"/>
    <col min="10" max="10" width="11.7265625" customWidth="1"/>
    <col min="11" max="11" width="11.453125" customWidth="1"/>
    <col min="12" max="26" width="8.7265625" customWidth="1"/>
  </cols>
  <sheetData>
    <row r="1" spans="3:11" ht="14.25" customHeight="1" x14ac:dyDescent="0.35"/>
    <row r="2" spans="3:11" ht="14.25" customHeight="1" x14ac:dyDescent="0.35">
      <c r="D2" s="9" t="s">
        <v>101</v>
      </c>
    </row>
    <row r="3" spans="3:11" ht="14.25" customHeight="1" x14ac:dyDescent="0.35">
      <c r="D3" s="9" t="s">
        <v>102</v>
      </c>
    </row>
    <row r="4" spans="3:11" ht="14.25" customHeight="1" x14ac:dyDescent="0.35">
      <c r="D4" s="9" t="s">
        <v>103</v>
      </c>
    </row>
    <row r="5" spans="3:11" ht="14.25" customHeight="1" x14ac:dyDescent="0.35"/>
    <row r="6" spans="3:11" ht="14.25" customHeight="1" x14ac:dyDescent="0.35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 x14ac:dyDescent="0.35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IFERROR(VLOOKUP($C7,Data,MATCH(I$6,Header,0)),"Retired")</f>
        <v>North</v>
      </c>
      <c r="J7" s="6" t="str">
        <f>IFERROR(VLOOKUP($C7,Data,MATCH(J$6,Header,0)),"Retired")</f>
        <v>FLM</v>
      </c>
      <c r="K7" s="6">
        <f>IFERROR(VLOOKUP($C7,Data,MATCH(K$6,Header,0)),"Retired")</f>
        <v>48000</v>
      </c>
    </row>
    <row r="8" spans="3:11" ht="14.25" customHeight="1" x14ac:dyDescent="0.35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IFERROR(VLOOKUP($C8,Data,MATCH(I$6,Header,0)),"Retired")</f>
        <v>North</v>
      </c>
      <c r="J8" s="6" t="str">
        <f>IFERROR(VLOOKUP($C8,Data,MATCH(J$6,Header,0)),"Retired")</f>
        <v>Digital Marketing</v>
      </c>
      <c r="K8" s="6">
        <f>IFERROR(VLOOKUP($C8,Data,MATCH(K$6,Header,0)),"Retired")</f>
        <v>35000</v>
      </c>
    </row>
    <row r="9" spans="3:11" ht="14.25" customHeight="1" x14ac:dyDescent="0.35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IFERROR(VLOOKUP($C9,Data,MATCH(I$6,Header,0)),"Retired")</f>
        <v>North</v>
      </c>
      <c r="J9" s="6" t="str">
        <f>IFERROR(VLOOKUP($C9,Data,MATCH(J$6,Header,0)),"Retired")</f>
        <v>Digital Marketing</v>
      </c>
      <c r="K9" s="6">
        <f>IFERROR(VLOOKUP($C9,Data,MATCH(K$6,Header,0)),"Retired")</f>
        <v>67000</v>
      </c>
    </row>
    <row r="10" spans="3:11" ht="14.25" customHeight="1" x14ac:dyDescent="0.35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IFERROR(VLOOKUP($C10,Data,MATCH(I$6,Header,0)),"Retired")</f>
        <v>South</v>
      </c>
      <c r="J10" s="6" t="str">
        <f>IFERROR(VLOOKUP($C10,Data,MATCH(J$6,Header,0)),"Retired")</f>
        <v>Inside Sales</v>
      </c>
      <c r="K10" s="6">
        <f>IFERROR(VLOOKUP($C10,Data,MATCH(K$6,Header,0)),"Retired")</f>
        <v>87000</v>
      </c>
    </row>
    <row r="11" spans="3:11" ht="14.25" customHeight="1" x14ac:dyDescent="0.35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IFERROR(VLOOKUP($C11,Data,MATCH(I$6,Header,0)),"Retired")</f>
        <v>North</v>
      </c>
      <c r="J11" s="6" t="str">
        <f>IFERROR(VLOOKUP($C11,Data,MATCH(J$6,Header,0)),"Retired")</f>
        <v>Marketing</v>
      </c>
      <c r="K11" s="6">
        <f>IFERROR(VLOOKUP($C11,Data,MATCH(K$6,Header,0)),"Retired")</f>
        <v>22000</v>
      </c>
    </row>
    <row r="12" spans="3:11" ht="14.25" customHeight="1" x14ac:dyDescent="0.35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IFERROR(VLOOKUP($C12,Data,MATCH(I$6,Header,0)),"Retired")</f>
        <v>North</v>
      </c>
      <c r="J12" s="6" t="str">
        <f>IFERROR(VLOOKUP($C12,Data,MATCH(J$6,Header,0)),"Retired")</f>
        <v>Director</v>
      </c>
      <c r="K12" s="6">
        <f>IFERROR(VLOOKUP($C12,Data,MATCH(K$6,Header,0)),"Retired")</f>
        <v>91000</v>
      </c>
    </row>
    <row r="13" spans="3:11" ht="14.25" customHeight="1" x14ac:dyDescent="0.35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IFERROR(VLOOKUP($C13,Data,MATCH(I$6,Header,0)),"Retired")</f>
        <v>Mid West</v>
      </c>
      <c r="J13" s="6" t="str">
        <f>IFERROR(VLOOKUP($C13,Data,MATCH(J$6,Header,0)),"Retired")</f>
        <v>Learning &amp; Development</v>
      </c>
      <c r="K13" s="6">
        <f>IFERROR(VLOOKUP($C13,Data,MATCH(K$6,Header,0)),"Retired")</f>
        <v>77000</v>
      </c>
    </row>
    <row r="14" spans="3:11" ht="14.25" customHeight="1" x14ac:dyDescent="0.35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IFERROR(VLOOKUP($C14,Data,MATCH(I$6,Header,0)),"Retired")</f>
        <v>Mid West</v>
      </c>
      <c r="J14" s="6" t="str">
        <f>IFERROR(VLOOKUP($C14,Data,MATCH(J$6,Header,0)),"Retired")</f>
        <v>Digital Marketing</v>
      </c>
      <c r="K14" s="6">
        <f>IFERROR(VLOOKUP($C14,Data,MATCH(K$6,Header,0)),"Retired")</f>
        <v>45000</v>
      </c>
    </row>
    <row r="15" spans="3:11" ht="14.25" customHeight="1" x14ac:dyDescent="0.35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IFERROR(VLOOKUP($C15,Data,MATCH(I$6,Header,0)),"Retired")</f>
        <v>East</v>
      </c>
      <c r="J15" s="6" t="str">
        <f>IFERROR(VLOOKUP($C15,Data,MATCH(J$6,Header,0)),"Retired")</f>
        <v>Digital Marketing</v>
      </c>
      <c r="K15" s="6">
        <f>IFERROR(VLOOKUP($C15,Data,MATCH(K$6,Header,0)),"Retired")</f>
        <v>92000</v>
      </c>
    </row>
    <row r="16" spans="3:11" ht="14.25" customHeight="1" x14ac:dyDescent="0.35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IFERROR(VLOOKUP($C16,Data,MATCH(I$6,Header,0)),"Retired")</f>
        <v>North</v>
      </c>
      <c r="J16" s="6" t="str">
        <f>IFERROR(VLOOKUP($C16,Data,MATCH(J$6,Header,0)),"Retired")</f>
        <v>Inside Sales</v>
      </c>
      <c r="K16" s="6">
        <f>IFERROR(VLOOKUP($C16,Data,MATCH(K$6,Header,0)),"Retired")</f>
        <v>50000</v>
      </c>
    </row>
    <row r="17" spans="3:11" ht="14.25" customHeight="1" x14ac:dyDescent="0.35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IFERROR(VLOOKUP($C17,Data,MATCH(I$6,Header,0)),"Retired")</f>
        <v>South</v>
      </c>
      <c r="J17" s="6" t="str">
        <f>IFERROR(VLOOKUP($C17,Data,MATCH(J$6,Header,0)),"Retired")</f>
        <v>Learning &amp; Development</v>
      </c>
      <c r="K17" s="6">
        <f>IFERROR(VLOOKUP($C17,Data,MATCH(K$6,Header,0)),"Retired")</f>
        <v>37000</v>
      </c>
    </row>
    <row r="18" spans="3:11" ht="14.25" customHeight="1" x14ac:dyDescent="0.35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IFERROR(VLOOKUP($C18,Data,MATCH(I$6,Header,0)),"Retired")</f>
        <v>East</v>
      </c>
      <c r="J18" s="6" t="str">
        <f>IFERROR(VLOOKUP($C18,Data,MATCH(J$6,Header,0)),"Retired")</f>
        <v>Learning &amp; Development</v>
      </c>
      <c r="K18" s="6">
        <f>IFERROR(VLOOKUP($C18,Data,MATCH(K$6,Header,0)),"Retired")</f>
        <v>43000</v>
      </c>
    </row>
    <row r="19" spans="3:11" ht="14.25" customHeight="1" x14ac:dyDescent="0.35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IFERROR(VLOOKUP($C19,Data,MATCH(I$6,Header,0)),"Retired")</f>
        <v>East</v>
      </c>
      <c r="J19" s="6" t="str">
        <f>IFERROR(VLOOKUP($C19,Data,MATCH(J$6,Header,0)),"Retired")</f>
        <v>CEO</v>
      </c>
      <c r="K19" s="6">
        <f>IFERROR(VLOOKUP($C19,Data,MATCH(K$6,Header,0)),"Retired")</f>
        <v>90000</v>
      </c>
    </row>
    <row r="20" spans="3:11" ht="14.25" customHeight="1" x14ac:dyDescent="0.35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IFERROR(VLOOKUP($C20,Data,MATCH(I$6,Header,0)),"Retired")</f>
        <v>East</v>
      </c>
      <c r="J20" s="6" t="str">
        <f>IFERROR(VLOOKUP($C20,Data,MATCH(J$6,Header,0)),"Retired")</f>
        <v>Inside Sales</v>
      </c>
      <c r="K20" s="6">
        <f>IFERROR(VLOOKUP($C20,Data,MATCH(K$6,Header,0)),"Retired")</f>
        <v>75000</v>
      </c>
    </row>
    <row r="21" spans="3:11" ht="14.25" customHeight="1" x14ac:dyDescent="0.35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IFERROR(VLOOKUP($C21,Data,MATCH(I$6,Header,0)),"Retired")</f>
        <v>South</v>
      </c>
      <c r="J21" s="6" t="str">
        <f>IFERROR(VLOOKUP($C21,Data,MATCH(J$6,Header,0)),"Retired")</f>
        <v>Digital Marketing</v>
      </c>
      <c r="K21" s="6">
        <f>IFERROR(VLOOKUP($C21,Data,MATCH(K$6,Header,0)),"Retired")</f>
        <v>82000</v>
      </c>
    </row>
    <row r="22" spans="3:11" ht="14.25" customHeight="1" x14ac:dyDescent="0.35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IFERROR(VLOOKUP($C22,Data,MATCH(I$6,Header,0)),"Retired")</f>
        <v>South</v>
      </c>
      <c r="J22" s="6" t="str">
        <f>IFERROR(VLOOKUP($C22,Data,MATCH(J$6,Header,0)),"Retired")</f>
        <v>Inside Sales</v>
      </c>
      <c r="K22" s="6">
        <f>IFERROR(VLOOKUP($C22,Data,MATCH(K$6,Header,0)),"Retired")</f>
        <v>67000</v>
      </c>
    </row>
    <row r="23" spans="3:11" ht="14.25" customHeight="1" x14ac:dyDescent="0.35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IFERROR(VLOOKUP($C23,Data,MATCH(I$6,Header,0)),"Retired")</f>
        <v>South</v>
      </c>
      <c r="J23" s="6" t="str">
        <f>IFERROR(VLOOKUP($C23,Data,MATCH(J$6,Header,0)),"Retired")</f>
        <v>CCD</v>
      </c>
      <c r="K23" s="6">
        <f>IFERROR(VLOOKUP($C23,Data,MATCH(K$6,Header,0)),"Retired")</f>
        <v>85000</v>
      </c>
    </row>
    <row r="24" spans="3:11" ht="14.25" customHeight="1" x14ac:dyDescent="0.35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IFERROR(VLOOKUP($C24,Data,MATCH(I$6,Header,0)),"Retired")</f>
        <v>South</v>
      </c>
      <c r="J24" s="6" t="str">
        <f>IFERROR(VLOOKUP($C24,Data,MATCH(J$6,Header,0)),"Retired")</f>
        <v>FLM</v>
      </c>
      <c r="K24" s="6">
        <f>IFERROR(VLOOKUP($C24,Data,MATCH(K$6,Header,0)),"Retired")</f>
        <v>62000</v>
      </c>
    </row>
    <row r="25" spans="3:11" ht="14.25" customHeight="1" x14ac:dyDescent="0.35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IFERROR(VLOOKUP($C25,Data,MATCH(I$6,Header,0)),"Retired")</f>
        <v>Mid West</v>
      </c>
      <c r="J25" s="6" t="str">
        <f>IFERROR(VLOOKUP($C25,Data,MATCH(J$6,Header,0)),"Retired")</f>
        <v>Inside Sales</v>
      </c>
      <c r="K25" s="6">
        <f>IFERROR(VLOOKUP($C25,Data,MATCH(K$6,Header,0)),"Retired")</f>
        <v>15000</v>
      </c>
    </row>
    <row r="26" spans="3:11" ht="14.25" customHeight="1" x14ac:dyDescent="0.35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IFERROR(VLOOKUP($C26,Data,MATCH(I$6,Header,0)),"Retired")</f>
        <v>South</v>
      </c>
      <c r="J26" s="6" t="str">
        <f>IFERROR(VLOOKUP($C26,Data,MATCH(J$6,Header,0)),"Retired")</f>
        <v>Operations</v>
      </c>
      <c r="K26" s="6">
        <f>IFERROR(VLOOKUP($C26,Data,MATCH(K$6,Header,0)),"Retired")</f>
        <v>81000</v>
      </c>
    </row>
    <row r="27" spans="3:11" ht="14.25" customHeight="1" x14ac:dyDescent="0.35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IFERROR(VLOOKUP($C27,Data,MATCH(I$6,Header,0)),"Retired")</f>
        <v>South</v>
      </c>
      <c r="J27" s="6" t="str">
        <f>IFERROR(VLOOKUP($C27,Data,MATCH(J$6,Header,0)),"Retired")</f>
        <v>Finance</v>
      </c>
      <c r="K27" s="6">
        <f>IFERROR(VLOOKUP($C27,Data,MATCH(K$6,Header,0)),"Retired")</f>
        <v>19000</v>
      </c>
    </row>
    <row r="28" spans="3:11" ht="14.25" customHeight="1" x14ac:dyDescent="0.35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IFERROR(VLOOKUP($C28,Data,MATCH(I$6,Header,0)),"Retired")</f>
        <v>East</v>
      </c>
      <c r="J28" s="6" t="str">
        <f>IFERROR(VLOOKUP($C28,Data,MATCH(J$6,Header,0)),"Retired")</f>
        <v>Inside Sales</v>
      </c>
      <c r="K28" s="6">
        <f>IFERROR(VLOOKUP($C28,Data,MATCH(K$6,Header,0)),"Retired")</f>
        <v>75000</v>
      </c>
    </row>
    <row r="29" spans="3:11" ht="14.25" customHeight="1" x14ac:dyDescent="0.35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IFERROR(VLOOKUP($C29,Data,MATCH(I$6,Header,0)),"Retired")</f>
        <v>East</v>
      </c>
      <c r="J29" s="6" t="str">
        <f>IFERROR(VLOOKUP($C29,Data,MATCH(J$6,Header,0)),"Retired")</f>
        <v>Finance</v>
      </c>
      <c r="K29" s="6">
        <f>IFERROR(VLOOKUP($C29,Data,MATCH(K$6,Header,0)),"Retired")</f>
        <v>49000</v>
      </c>
    </row>
    <row r="30" spans="3:11" ht="14.25" customHeight="1" x14ac:dyDescent="0.35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IFERROR(VLOOKUP($C30,Data,MATCH(I$6,Header,0)),"Retired")</f>
        <v>South</v>
      </c>
      <c r="J30" s="6" t="str">
        <f>IFERROR(VLOOKUP($C30,Data,MATCH(J$6,Header,0)),"Retired")</f>
        <v>Inside Sales</v>
      </c>
      <c r="K30" s="6">
        <f>IFERROR(VLOOKUP($C30,Data,MATCH(K$6,Header,0)),"Retired")</f>
        <v>67000</v>
      </c>
    </row>
    <row r="31" spans="3:11" ht="14.25" customHeight="1" x14ac:dyDescent="0.35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IFERROR(VLOOKUP($C31,Data,MATCH(I$6,Header,0)),"Retired")</f>
        <v>Mid West</v>
      </c>
      <c r="J31" s="6" t="str">
        <f>IFERROR(VLOOKUP($C31,Data,MATCH(J$6,Header,0)),"Retired")</f>
        <v>Finance</v>
      </c>
      <c r="K31" s="6">
        <f>IFERROR(VLOOKUP($C31,Data,MATCH(K$6,Header,0)),"Retired")</f>
        <v>83000</v>
      </c>
    </row>
    <row r="32" spans="3:11" ht="14.25" customHeight="1" x14ac:dyDescent="0.35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IFERROR(VLOOKUP($C32,Data,MATCH(I$6,Header,0)),"Retired")</f>
        <v>South</v>
      </c>
      <c r="J32" s="6" t="str">
        <f>IFERROR(VLOOKUP($C32,Data,MATCH(J$6,Header,0)),"Retired")</f>
        <v>Sales</v>
      </c>
      <c r="K32" s="6">
        <f>IFERROR(VLOOKUP($C32,Data,MATCH(K$6,Header,0)),"Retired")</f>
        <v>53000</v>
      </c>
    </row>
    <row r="33" spans="3:11" ht="14.25" customHeight="1" x14ac:dyDescent="0.35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IFERROR(VLOOKUP($C33,Data,MATCH(I$6,Header,0)),"Retired")</f>
        <v>South</v>
      </c>
      <c r="J33" s="6" t="str">
        <f>IFERROR(VLOOKUP($C33,Data,MATCH(J$6,Header,0)),"Retired")</f>
        <v>Operations</v>
      </c>
      <c r="K33" s="6">
        <f>IFERROR(VLOOKUP($C33,Data,MATCH(K$6,Header,0)),"Retired")</f>
        <v>65000</v>
      </c>
    </row>
    <row r="34" spans="3:11" ht="14.25" customHeight="1" x14ac:dyDescent="0.35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IFERROR(VLOOKUP($C34,Data,MATCH(I$6,Header,0)),"Retired")</f>
        <v>North</v>
      </c>
      <c r="J34" s="6" t="str">
        <f>IFERROR(VLOOKUP($C34,Data,MATCH(J$6,Header,0)),"Retired")</f>
        <v>Finance</v>
      </c>
      <c r="K34" s="6">
        <f>IFERROR(VLOOKUP($C34,Data,MATCH(K$6,Header,0)),"Retired")</f>
        <v>85000</v>
      </c>
    </row>
    <row r="35" spans="3:11" ht="14.25" customHeight="1" x14ac:dyDescent="0.35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IFERROR(VLOOKUP($C35,Data,MATCH(I$6,Header,0)),"Retired")</f>
        <v>East</v>
      </c>
      <c r="J35" s="6" t="str">
        <f>IFERROR(VLOOKUP($C35,Data,MATCH(J$6,Header,0)),"Retired")</f>
        <v>Inside Sales</v>
      </c>
      <c r="K35" s="6">
        <f>IFERROR(VLOOKUP($C35,Data,MATCH(K$6,Header,0)),"Retired")</f>
        <v>20000</v>
      </c>
    </row>
    <row r="36" spans="3:11" ht="14.25" customHeight="1" x14ac:dyDescent="0.35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IFERROR(VLOOKUP($C36,Data,MATCH(I$6,Header,0)),"Retired")</f>
        <v>East</v>
      </c>
      <c r="J36" s="6" t="str">
        <f>IFERROR(VLOOKUP($C36,Data,MATCH(J$6,Header,0)),"Retired")</f>
        <v>CCD</v>
      </c>
      <c r="K36" s="6">
        <f>IFERROR(VLOOKUP($C36,Data,MATCH(K$6,Header,0)),"Retired")</f>
        <v>47000</v>
      </c>
    </row>
    <row r="37" spans="3:11" ht="14.25" customHeight="1" x14ac:dyDescent="0.35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IFERROR(VLOOKUP($C37,Data,MATCH(I$6,Header,0)),"Retired")</f>
        <v>South</v>
      </c>
      <c r="J37" s="6" t="str">
        <f>IFERROR(VLOOKUP($C37,Data,MATCH(J$6,Header,0)),"Retired")</f>
        <v>Director</v>
      </c>
      <c r="K37" s="6">
        <f>IFERROR(VLOOKUP($C37,Data,MATCH(K$6,Header,0)),"Retired")</f>
        <v>87000</v>
      </c>
    </row>
    <row r="38" spans="3:11" ht="14.25" customHeight="1" x14ac:dyDescent="0.35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IFERROR(VLOOKUP($C38,Data,MATCH(I$6,Header,0)),"Retired")</f>
        <v>South</v>
      </c>
      <c r="J38" s="6" t="str">
        <f>IFERROR(VLOOKUP($C38,Data,MATCH(J$6,Header,0)),"Retired")</f>
        <v>CCD</v>
      </c>
      <c r="K38" s="6">
        <f>IFERROR(VLOOKUP($C38,Data,MATCH(K$6,Header,0)),"Retired")</f>
        <v>85000</v>
      </c>
    </row>
    <row r="39" spans="3:11" ht="14.25" customHeight="1" x14ac:dyDescent="0.35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IFERROR(VLOOKUP($C39,Data,MATCH(I$6,Header,0)),"Retired")</f>
        <v>East</v>
      </c>
      <c r="J39" s="6" t="str">
        <f>IFERROR(VLOOKUP($C39,Data,MATCH(J$6,Header,0)),"Retired")</f>
        <v>Marketing</v>
      </c>
      <c r="K39" s="6">
        <f>IFERROR(VLOOKUP($C39,Data,MATCH(K$6,Header,0)),"Retired")</f>
        <v>27000</v>
      </c>
    </row>
    <row r="40" spans="3:11" ht="14.25" customHeight="1" x14ac:dyDescent="0.35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IFERROR(VLOOKUP($C40,Data,MATCH(I$6,Header,0)),"Retired")</f>
        <v>North</v>
      </c>
      <c r="J40" s="6" t="str">
        <f>IFERROR(VLOOKUP($C40,Data,MATCH(J$6,Header,0)),"Retired")</f>
        <v>Digital Marketing</v>
      </c>
      <c r="K40" s="6">
        <f>IFERROR(VLOOKUP($C40,Data,MATCH(K$6,Header,0)),"Retired")</f>
        <v>81000</v>
      </c>
    </row>
    <row r="41" spans="3:11" ht="14.25" customHeight="1" x14ac:dyDescent="0.35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IFERROR(VLOOKUP($C41,Data,MATCH(I$6,Header,0)),"Retired")</f>
        <v>North</v>
      </c>
      <c r="J41" s="6" t="str">
        <f>IFERROR(VLOOKUP($C41,Data,MATCH(J$6,Header,0)),"Retired")</f>
        <v>Sales</v>
      </c>
      <c r="K41" s="6">
        <f>IFERROR(VLOOKUP($C41,Data,MATCH(K$6,Header,0)),"Retired")</f>
        <v>52000</v>
      </c>
    </row>
    <row r="42" spans="3:11" ht="14.25" customHeight="1" x14ac:dyDescent="0.35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IFERROR(VLOOKUP($C42,Data,MATCH(I$6,Header,0)),"Retired")</f>
        <v>South</v>
      </c>
      <c r="J42" s="6" t="str">
        <f>IFERROR(VLOOKUP($C42,Data,MATCH(J$6,Header,0)),"Retired")</f>
        <v>Marketing</v>
      </c>
      <c r="K42" s="6">
        <f>IFERROR(VLOOKUP($C42,Data,MATCH(K$6,Header,0)),"Retired")</f>
        <v>58000</v>
      </c>
    </row>
    <row r="43" spans="3:11" ht="14.25" customHeight="1" x14ac:dyDescent="0.35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IFERROR(VLOOKUP($C43,Data,MATCH(I$6,Header,0)),"Retired")</f>
        <v>Mid West</v>
      </c>
      <c r="J43" s="6" t="str">
        <f>IFERROR(VLOOKUP($C43,Data,MATCH(J$6,Header,0)),"Retired")</f>
        <v>Marketing</v>
      </c>
      <c r="K43" s="6">
        <f>IFERROR(VLOOKUP($C43,Data,MATCH(K$6,Header,0)),"Retired")</f>
        <v>47000</v>
      </c>
    </row>
    <row r="44" spans="3:11" ht="14.25" customHeight="1" x14ac:dyDescent="0.35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IFERROR(VLOOKUP($C44,Data,MATCH(I$6,Header,0)),"Retired")</f>
        <v>North</v>
      </c>
      <c r="J44" s="6" t="str">
        <f>IFERROR(VLOOKUP($C44,Data,MATCH(J$6,Header,0)),"Retired")</f>
        <v>CCD</v>
      </c>
      <c r="K44" s="6">
        <f>IFERROR(VLOOKUP($C44,Data,MATCH(K$6,Header,0)),"Retired")</f>
        <v>26000</v>
      </c>
    </row>
    <row r="45" spans="3:11" ht="14.25" customHeight="1" x14ac:dyDescent="0.35"/>
    <row r="46" spans="3:11" ht="14.25" customHeight="1" x14ac:dyDescent="0.35"/>
    <row r="47" spans="3:11" ht="14.25" customHeight="1" x14ac:dyDescent="0.35"/>
    <row r="48" spans="3:11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workbookViewId="0">
      <selection activeCell="C5" sqref="C5:F5"/>
    </sheetView>
  </sheetViews>
  <sheetFormatPr defaultColWidth="14.453125" defaultRowHeight="15" customHeight="1" x14ac:dyDescent="0.35"/>
  <cols>
    <col min="1" max="3" width="8.7265625" customWidth="1"/>
    <col min="4" max="4" width="21.26953125" customWidth="1"/>
    <col min="5" max="5" width="8.7265625" customWidth="1"/>
    <col min="6" max="6" width="11.453125" customWidth="1"/>
    <col min="7" max="26" width="8.7265625" customWidth="1"/>
  </cols>
  <sheetData>
    <row r="1" spans="3:6" ht="14.25" customHeight="1" x14ac:dyDescent="0.35"/>
    <row r="2" spans="3:6" ht="14.25" customHeight="1" x14ac:dyDescent="0.35"/>
    <row r="3" spans="3:6" ht="14.25" customHeight="1" x14ac:dyDescent="0.35"/>
    <row r="4" spans="3:6" ht="14.25" customHeight="1" x14ac:dyDescent="0.35"/>
    <row r="5" spans="3:6" ht="14.25" customHeight="1" x14ac:dyDescent="0.35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 x14ac:dyDescent="0.35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 x14ac:dyDescent="0.35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 x14ac:dyDescent="0.35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 x14ac:dyDescent="0.35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 x14ac:dyDescent="0.35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 x14ac:dyDescent="0.35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 x14ac:dyDescent="0.35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 x14ac:dyDescent="0.35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 x14ac:dyDescent="0.35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 x14ac:dyDescent="0.35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 x14ac:dyDescent="0.35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 x14ac:dyDescent="0.35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 x14ac:dyDescent="0.35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 x14ac:dyDescent="0.35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 x14ac:dyDescent="0.35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 x14ac:dyDescent="0.35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 x14ac:dyDescent="0.35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 x14ac:dyDescent="0.35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 x14ac:dyDescent="0.35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 x14ac:dyDescent="0.35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 x14ac:dyDescent="0.35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 x14ac:dyDescent="0.35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 x14ac:dyDescent="0.35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 x14ac:dyDescent="0.35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 x14ac:dyDescent="0.35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 x14ac:dyDescent="0.35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 x14ac:dyDescent="0.35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 x14ac:dyDescent="0.35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 x14ac:dyDescent="0.35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 x14ac:dyDescent="0.35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 x14ac:dyDescent="0.35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 x14ac:dyDescent="0.35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 x14ac:dyDescent="0.35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 x14ac:dyDescent="0.35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 x14ac:dyDescent="0.35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 x14ac:dyDescent="0.35"/>
    <row r="42" spans="3:6" ht="14.25" customHeight="1" x14ac:dyDescent="0.35"/>
    <row r="43" spans="3:6" ht="14.25" customHeight="1" x14ac:dyDescent="0.35"/>
    <row r="44" spans="3:6" ht="14.25" customHeight="1" x14ac:dyDescent="0.35"/>
    <row r="45" spans="3:6" ht="14.25" customHeight="1" x14ac:dyDescent="0.35"/>
    <row r="46" spans="3:6" ht="14.25" customHeight="1" x14ac:dyDescent="0.35"/>
    <row r="47" spans="3:6" ht="14.25" customHeight="1" x14ac:dyDescent="0.35"/>
    <row r="48" spans="3:6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Index&amp;Match</vt:lpstr>
      <vt:lpstr>Master Emp sheet</vt:lpstr>
      <vt:lpstr>Source</vt:lpstr>
      <vt:lpstr>Data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Angel Benit Veronica J</cp:lastModifiedBy>
  <dcterms:created xsi:type="dcterms:W3CDTF">2022-07-27T06:45:44Z</dcterms:created>
  <dcterms:modified xsi:type="dcterms:W3CDTF">2026-02-19T13:30:00Z</dcterms:modified>
</cp:coreProperties>
</file>